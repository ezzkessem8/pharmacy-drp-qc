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P Log" sheetId="1" state="visible" r:id="rId3"/>
    <sheet name="DRP Summary" sheetId="2" state="visible" r:id="rId4"/>
    <sheet name="Screening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<sst xmlns="http://schemas.openxmlformats.org/spreadsheetml/2006/main" count="342" uniqueCount="166">
  <si>
    <t xml:space="preserve">Screening ID</t>
  </si>
  <si>
    <t xml:space="preserve">Date</t>
  </si>
  <si>
    <t xml:space="preserve">Patient Population</t>
  </si>
  <si>
    <t xml:space="preserve">Problem Domain (PCNE)</t>
  </si>
  <si>
    <t xml:space="preserve">Cause Category</t>
  </si>
  <si>
    <t xml:space="preserve">Severity</t>
  </si>
  <si>
    <t xml:space="preserve">Description</t>
  </si>
  <si>
    <t xml:space="preserve">Intervention</t>
  </si>
  <si>
    <t xml:space="preserve">Outcome</t>
  </si>
  <si>
    <t xml:space="preserve">Pharmacist Sign-off</t>
  </si>
  <si>
    <t xml:space="preserve">DRP-001</t>
  </si>
  <si>
    <t xml:space="preserve">2026-07-01</t>
  </si>
  <si>
    <t xml:space="preserve">Adult</t>
  </si>
  <si>
    <t xml:space="preserve">Treatment Safety</t>
  </si>
  <si>
    <t xml:space="preserve">Drug Interaction</t>
  </si>
  <si>
    <t xml:space="preserve">Critical</t>
  </si>
  <si>
    <t xml:space="preserve">Warfarin and diclofenac prescribed together — significant bleeding-risk interaction</t>
  </si>
  <si>
    <t xml:space="preserve">Contacted prescriber; NSAID substituted with paracetamol</t>
  </si>
  <si>
    <t xml:space="preserve">Accepted — therapy changed</t>
  </si>
  <si>
    <t xml:space="preserve">E. Kessem</t>
  </si>
  <si>
    <t xml:space="preserve">DRP-002</t>
  </si>
  <si>
    <t xml:space="preserve">Adult (documented penicillin allergy)</t>
  </si>
  <si>
    <t xml:space="preserve">Drug-Allergy Conflict</t>
  </si>
  <si>
    <t xml:space="preserve">Amoxicillin prescribed despite documented penicillin allergy on file</t>
  </si>
  <si>
    <t xml:space="preserve">Contacted prescriber immediately; alternative antibiotic class prescribed</t>
  </si>
  <si>
    <t xml:space="preserve">DRP-003</t>
  </si>
  <si>
    <t xml:space="preserve">2026-07-02</t>
  </si>
  <si>
    <t xml:space="preserve">Adult (reduced renal function)</t>
  </si>
  <si>
    <t xml:space="preserve">Inappropriate Dose</t>
  </si>
  <si>
    <t xml:space="preserve">Metformin continued at standard dose despite documented reduced kidney function</t>
  </si>
  <si>
    <t xml:space="preserve">Contacted prescriber; dose reduced per renal function</t>
  </si>
  <si>
    <t xml:space="preserve">Accepted — dose adjusted</t>
  </si>
  <si>
    <t xml:space="preserve">DRP-004</t>
  </si>
  <si>
    <t xml:space="preserve">Therapeutic Duplication</t>
  </si>
  <si>
    <t xml:space="preserve">Moderate</t>
  </si>
  <si>
    <t xml:space="preserve">Two NSAIDs (ibuprofen and diclofenac) prescribed concurrently</t>
  </si>
  <si>
    <t xml:space="preserve">Counseled patient; flagged to prescriber</t>
  </si>
  <si>
    <t xml:space="preserve">Accepted — one discontinued</t>
  </si>
  <si>
    <t xml:space="preserve">DRP-005</t>
  </si>
  <si>
    <t xml:space="preserve">2026-07-03</t>
  </si>
  <si>
    <t xml:space="preserve">Adult (type 2 diabetes)</t>
  </si>
  <si>
    <t xml:space="preserve">Treatment Effectiveness</t>
  </si>
  <si>
    <t xml:space="preserve">Untreated Indication</t>
  </si>
  <si>
    <t xml:space="preserve">No statin on regimen despite a cardiovascular risk profile consistent with guideline-recommended therapy</t>
  </si>
  <si>
    <t xml:space="preserve">Flagged to prescriber for review</t>
  </si>
  <si>
    <t xml:space="preserve">Pending — referred to next visit</t>
  </si>
  <si>
    <t xml:space="preserve">DRP-006</t>
  </si>
  <si>
    <t xml:space="preserve">Enalapril and spironolactone prescribed together — hyperkalemia risk with no monitoring plan noted</t>
  </si>
  <si>
    <t xml:space="preserve">Contacted prescriber to confirm monitoring plan</t>
  </si>
  <si>
    <t xml:space="preserve">Accepted — monitoring added</t>
  </si>
  <si>
    <t xml:space="preserve">DRP-007</t>
  </si>
  <si>
    <t xml:space="preserve">2026-07-04</t>
  </si>
  <si>
    <t xml:space="preserve">Inappropriate Duration</t>
  </si>
  <si>
    <t xml:space="preserve">Antibiotic course prescribed shorter than guideline-recommended for the indication</t>
  </si>
  <si>
    <t xml:space="preserve">Counseled patient on completing full course; flagged to prescriber</t>
  </si>
  <si>
    <t xml:space="preserve">Accepted — course extended</t>
  </si>
  <si>
    <t xml:space="preserve">DRP-008</t>
  </si>
  <si>
    <t xml:space="preserve">Dispensing/Logistics Error</t>
  </si>
  <si>
    <t xml:space="preserve">Prescription called for 500 mg; stock pick was 250 mg tablets without adjusting quantity</t>
  </si>
  <si>
    <t xml:space="preserve">Caught at final check before dispensing; corrected</t>
  </si>
  <si>
    <t xml:space="preserve">Resolved before dispensing</t>
  </si>
  <si>
    <t xml:space="preserve">DRP-009</t>
  </si>
  <si>
    <t xml:space="preserve">2026-07-05</t>
  </si>
  <si>
    <t xml:space="preserve">Pediatric</t>
  </si>
  <si>
    <t xml:space="preserve">Weight-based dose calculation not reflected in the prescribed quantity</t>
  </si>
  <si>
    <t xml:space="preserve">Contacted prescriber to reconfirm weight-based calculation</t>
  </si>
  <si>
    <t xml:space="preserve">Accepted — dose corrected</t>
  </si>
  <si>
    <t xml:space="preserve">DRP-010</t>
  </si>
  <si>
    <t xml:space="preserve">Adult (long-term NSAID use)</t>
  </si>
  <si>
    <t xml:space="preserve">Long-term NSAID use with no gastroprotective agent despite risk profile</t>
  </si>
  <si>
    <t xml:space="preserve">Flagged to prescriber</t>
  </si>
  <si>
    <t xml:space="preserve">Accepted — gastroprotection added</t>
  </si>
  <si>
    <t xml:space="preserve">DRP-011</t>
  </si>
  <si>
    <t xml:space="preserve">2026-07-06</t>
  </si>
  <si>
    <t xml:space="preserve">Simvastatin prescribed alongside a strong CYP3A4-inhibiting antibiotic — myopathy risk</t>
  </si>
  <si>
    <t xml:space="preserve">Contacted prescriber; statin held during antibiotic course</t>
  </si>
  <si>
    <t xml:space="preserve">Accepted — therapy paused</t>
  </si>
  <si>
    <t xml:space="preserve">DRP-012</t>
  </si>
  <si>
    <t xml:space="preserve">Geriatric</t>
  </si>
  <si>
    <t xml:space="preserve">Standard adult dose prescribed with no age-related dose consideration noted</t>
  </si>
  <si>
    <t xml:space="preserve">Pending — awaiting prescriber response</t>
  </si>
  <si>
    <t xml:space="preserve">DRP-013</t>
  </si>
  <si>
    <t xml:space="preserve">2026-07-07</t>
  </si>
  <si>
    <t xml:space="preserve">Two antihypertensives of the same class, prescribed by different prescribers</t>
  </si>
  <si>
    <t xml:space="preserve">Reconciled medication list with patient; flagged duplication</t>
  </si>
  <si>
    <t xml:space="preserve">DRP-014</t>
  </si>
  <si>
    <t xml:space="preserve">Other</t>
  </si>
  <si>
    <t xml:space="preserve">Patient-Related (Possible Non-Adherence)</t>
  </si>
  <si>
    <t xml:space="preserve">Refill requested earlier than the days-supply calculation would predict</t>
  </si>
  <si>
    <t xml:space="preserve">Counseled patient on adherence; reviewed medication history</t>
  </si>
  <si>
    <t xml:space="preserve">Resolved — adherence counseling given</t>
  </si>
  <si>
    <t xml:space="preserve">DRP-015</t>
  </si>
  <si>
    <t xml:space="preserve">2026-07-08</t>
  </si>
  <si>
    <t xml:space="preserve">Adult (documented sulfa allergy)</t>
  </si>
  <si>
    <t xml:space="preserve">Sulfa-based antibiotic prescribed for a patient with documented sulfa allergy</t>
  </si>
  <si>
    <t xml:space="preserve">Contacted prescriber immediately; alternative prescribed</t>
  </si>
  <si>
    <t xml:space="preserve">DRP-016</t>
  </si>
  <si>
    <t xml:space="preserve">Label instructions did not match the prescribed frequency due to an entry error</t>
  </si>
  <si>
    <t xml:space="preserve">Caught at final check; label corrected before dispensing</t>
  </si>
  <si>
    <t xml:space="preserve">DRP-017</t>
  </si>
  <si>
    <t xml:space="preserve">2026-07-09</t>
  </si>
  <si>
    <t xml:space="preserve">Pregnant</t>
  </si>
  <si>
    <t xml:space="preserve">Medication with a known pregnancy-category concern prescribed with no risk-benefit discussion noted</t>
  </si>
  <si>
    <t xml:space="preserve">Contacted prescriber to confirm risk-benefit review</t>
  </si>
  <si>
    <t xml:space="preserve">Accepted — alternative prescribed</t>
  </si>
  <si>
    <t xml:space="preserve">DRP-018</t>
  </si>
  <si>
    <t xml:space="preserve">Inhaler technique not reviewed at refill despite patient-reported ongoing symptoms</t>
  </si>
  <si>
    <t xml:space="preserve">Counseled patient on inhaler technique</t>
  </si>
  <si>
    <t xml:space="preserve">Resolved — technique corrected</t>
  </si>
  <si>
    <t xml:space="preserve">DRP-019</t>
  </si>
  <si>
    <t xml:space="preserve">2026-07-10</t>
  </si>
  <si>
    <t xml:space="preserve">Antacid co-prescribed with an antibiotic known to have reduced absorption when taken together</t>
  </si>
  <si>
    <t xml:space="preserve">Counseled patient on dose-timing separation</t>
  </si>
  <si>
    <t xml:space="preserve">Resolved — timing counseled</t>
  </si>
  <si>
    <t xml:space="preserve">DRP-020</t>
  </si>
  <si>
    <t xml:space="preserve">Two benzodiazepine-class medications prescribed concurrently by different prescribers</t>
  </si>
  <si>
    <t xml:space="preserve">Contacted both prescribers; one discontinued</t>
  </si>
  <si>
    <t xml:space="preserve">DRP-021</t>
  </si>
  <si>
    <t xml:space="preserve">2026-07-11</t>
  </si>
  <si>
    <t xml:space="preserve">Proton pump inhibitor refilled long-term with no documented periodic review</t>
  </si>
  <si>
    <t xml:space="preserve">Pending — referred for review</t>
  </si>
  <si>
    <t xml:space="preserve">DRP-022</t>
  </si>
  <si>
    <t xml:space="preserve">Two patients with similar names — prescription nearly handed to the wrong patient</t>
  </si>
  <si>
    <t xml:space="preserve">Caught at final ID check before handover</t>
  </si>
  <si>
    <t xml:space="preserve">DRP-023</t>
  </si>
  <si>
    <t xml:space="preserve">2026-07-12</t>
  </si>
  <si>
    <t xml:space="preserve">NSAID prescribed at standard dose despite documented reduced kidney function</t>
  </si>
  <si>
    <t xml:space="preserve">Contacted prescriber; alternative analgesic recommended</t>
  </si>
  <si>
    <t xml:space="preserve">DRP-024</t>
  </si>
  <si>
    <t xml:space="preserve">No tetanus-booster status check despite a wound-care visit context</t>
  </si>
  <si>
    <t xml:space="preserve">Flagged for review at next visit</t>
  </si>
  <si>
    <t xml:space="preserve">DRP-025</t>
  </si>
  <si>
    <t xml:space="preserve">2026-07-13</t>
  </si>
  <si>
    <t xml:space="preserve">—</t>
  </si>
  <si>
    <t xml:space="preserve">Screened — no drug-related problem identified</t>
  </si>
  <si>
    <t xml:space="preserve">Dispensed as prescribed</t>
  </si>
  <si>
    <t xml:space="preserve">DRP-026</t>
  </si>
  <si>
    <t xml:space="preserve">DRP-027</t>
  </si>
  <si>
    <t xml:space="preserve">2026-07-14</t>
  </si>
  <si>
    <t xml:space="preserve">DRP-028</t>
  </si>
  <si>
    <t xml:space="preserve">Drug-Related Problem (DRP) Screening — Summary</t>
  </si>
  <si>
    <t xml:space="preserve">Note: this 28-record sample is curated to illustrate the range of DRPs the screening step catches (not a random cross-section of dispensing volume) — see README for how this maps to ongoing practice.</t>
  </si>
  <si>
    <t xml:space="preserve">Overall Stats</t>
  </si>
  <si>
    <t xml:space="preserve">Total Screenings</t>
  </si>
  <si>
    <t xml:space="preserve">DRPs Identified</t>
  </si>
  <si>
    <t xml:space="preserve">Clean (No DRP)</t>
  </si>
  <si>
    <t xml:space="preserve">DRP Identification Rate (this sample)</t>
  </si>
  <si>
    <t xml:space="preserve">By Severity</t>
  </si>
  <si>
    <t xml:space="preserve">Count</t>
  </si>
  <si>
    <t xml:space="preserve">% of DRPs</t>
  </si>
  <si>
    <t xml:space="preserve">By PCNE Problem Domain</t>
  </si>
  <si>
    <t xml:space="preserve">Problem Domain</t>
  </si>
  <si>
    <t xml:space="preserve">By Cause Category</t>
  </si>
  <si>
    <t xml:space="preserve">Point-of-Dispensing Screening Checklist</t>
  </si>
  <si>
    <t xml:space="preserve">Row 3 shows an example entry (synthetic data). Complete for every new prescription starting Row 4 — before dispensing, not after.</t>
  </si>
  <si>
    <t xml:space="preserve">Medication List Reviewed (Y/N)</t>
  </si>
  <si>
    <t xml:space="preserve">Allergy Check (Y/N)</t>
  </si>
  <si>
    <t xml:space="preserve">Interaction Check (Y/N)</t>
  </si>
  <si>
    <t xml:space="preserve">Dose-Appropriateness Check (Y/N)</t>
  </si>
  <si>
    <t xml:space="preserve">Duplication Check (Y/N)</t>
  </si>
  <si>
    <t xml:space="preserve">Indication Check (Y/N)</t>
  </si>
  <si>
    <t xml:space="preserve">DRP Identified (Y/N)</t>
  </si>
  <si>
    <t xml:space="preserve">Pharmacist</t>
  </si>
  <si>
    <t xml:space="preserve">Y</t>
  </si>
  <si>
    <t xml:space="preserve">N</t>
  </si>
  <si>
    <t xml:space="preserve">QC Reviewer (E. Kessem)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</si>
</sst>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CB"/>
        <bgColor rgb="FFD9D9D9"/>
      </patternFill>
    </fill>
    <fill>
      <patternFill patternType="solid">
        <fgColor rgb="FFFCE9B5"/>
        <bgColor rgb="FFFFF2CC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9B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9B5"/>
      <rgbColor rgb="FF99CCFF"/>
      <rgbColor rgb="FFFF99CC"/>
      <rgbColor rgb="FFCC99FF"/>
      <rgbColor rgb="FFF8CBCB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DRPs by Cause Category (this sample)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'DRP Summary'!B22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'DRP Summary'!$A$23:$A$30</c:f>
              <c:strCache>
                <c:ptCount val="8"/>
                <c:pt idx="0">
                  <c:v>Drug Interaction</c:v>
                </c:pt>
                <c:pt idx="1">
                  <c:v>Drug-Allergy Conflict</c:v>
                </c:pt>
                <c:pt idx="2">
                  <c:v>Inappropriate Dose</c:v>
                </c:pt>
                <c:pt idx="3">
                  <c:v>Therapeutic Duplication</c:v>
                </c:pt>
                <c:pt idx="4">
                  <c:v>Untreated Indication</c:v>
                </c:pt>
                <c:pt idx="5">
                  <c:v>Inappropriate Duration</c:v>
                </c:pt>
                <c:pt idx="6">
                  <c:v>Dispensing/Logistics Error</c:v>
                </c:pt>
                <c:pt idx="7">
                  <c:v>Patient-Related (Possible Non-Adherence)</c:v>
                </c:pt>
              </c:strCache>
            </c:strRef>
          </c:cat>
          <c:val>
            <c:numRef>
              <c:f>'DRP Summary'!$B$23:$B$30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90747537"/>
        <c:axId val="81761357"/>
      </c:barChart>
      <c:catAx>
        <c:axId val="90747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1357"/>
        <c:crosses val="autoZero"/>
        <c:auto val="1"/>
        <c:lblAlgn val="ctr"/>
        <c:lblOffset val="100"/>
        <c:noMultiLvlLbl val="0"/>
      </c:catAx>
      <c:valAx>
        <c:axId val="81761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47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15</xdr:col>
      <xdr:colOff>473040</xdr:colOff>
      <xdr:row>21</xdr:row>
      <xdr:rowOff>156240</xdr:rowOff>
    </xdr:to>
    <xdr:graphicFrame>
      <xdr:nvGraphicFramePr>
        <xdr:cNvPr id="0" name="Chart 1"/>
        <xdr:cNvGraphicFramePr/>
      </xdr:nvGraphicFramePr>
      <xdr:xfrm>
        <a:off x="4981680" y="762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35.0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3" t="s">
        <v>15</v>
      </c>
      <c r="G3" s="2" t="s">
        <v>23</v>
      </c>
      <c r="H3" s="2" t="s">
        <v>24</v>
      </c>
      <c r="I3" s="2" t="s">
        <v>18</v>
      </c>
      <c r="J3" s="2" t="s">
        <v>19</v>
      </c>
    </row>
    <row r="4" customFormat="false" ht="23.8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13</v>
      </c>
      <c r="E4" s="2" t="s">
        <v>28</v>
      </c>
      <c r="F4" s="3" t="s">
        <v>15</v>
      </c>
      <c r="G4" s="2" t="s">
        <v>29</v>
      </c>
      <c r="H4" s="2" t="s">
        <v>30</v>
      </c>
      <c r="I4" s="2" t="s">
        <v>31</v>
      </c>
      <c r="J4" s="2" t="s">
        <v>19</v>
      </c>
    </row>
    <row r="5" customFormat="false" ht="23.85" hidden="false" customHeight="false" outlineLevel="0" collapsed="false">
      <c r="A5" s="2" t="s">
        <v>32</v>
      </c>
      <c r="B5" s="2" t="s">
        <v>26</v>
      </c>
      <c r="C5" s="2" t="s">
        <v>12</v>
      </c>
      <c r="D5" s="2" t="s">
        <v>13</v>
      </c>
      <c r="E5" s="2" t="s">
        <v>33</v>
      </c>
      <c r="F5" s="4" t="s">
        <v>34</v>
      </c>
      <c r="G5" s="2" t="s">
        <v>35</v>
      </c>
      <c r="H5" s="2" t="s">
        <v>36</v>
      </c>
      <c r="I5" s="2" t="s">
        <v>37</v>
      </c>
      <c r="J5" s="2" t="s">
        <v>19</v>
      </c>
    </row>
    <row r="6" customFormat="false" ht="35.0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4" t="s">
        <v>34</v>
      </c>
      <c r="G6" s="2" t="s">
        <v>43</v>
      </c>
      <c r="H6" s="2" t="s">
        <v>44</v>
      </c>
      <c r="I6" s="2" t="s">
        <v>45</v>
      </c>
      <c r="J6" s="2" t="s">
        <v>19</v>
      </c>
    </row>
    <row r="7" customFormat="false" ht="23.85" hidden="false" customHeight="false" outlineLevel="0" collapsed="false">
      <c r="A7" s="2" t="s">
        <v>46</v>
      </c>
      <c r="B7" s="2" t="s">
        <v>39</v>
      </c>
      <c r="C7" s="2" t="s">
        <v>12</v>
      </c>
      <c r="D7" s="2" t="s">
        <v>13</v>
      </c>
      <c r="E7" s="2" t="s">
        <v>14</v>
      </c>
      <c r="F7" s="3" t="s">
        <v>15</v>
      </c>
      <c r="G7" s="2" t="s">
        <v>47</v>
      </c>
      <c r="H7" s="2" t="s">
        <v>48</v>
      </c>
      <c r="I7" s="2" t="s">
        <v>49</v>
      </c>
      <c r="J7" s="2" t="s">
        <v>19</v>
      </c>
    </row>
    <row r="8" customFormat="false" ht="23.85" hidden="false" customHeight="false" outlineLevel="0" collapsed="false">
      <c r="A8" s="2" t="s">
        <v>50</v>
      </c>
      <c r="B8" s="2" t="s">
        <v>51</v>
      </c>
      <c r="C8" s="2" t="s">
        <v>12</v>
      </c>
      <c r="D8" s="2" t="s">
        <v>41</v>
      </c>
      <c r="E8" s="2" t="s">
        <v>52</v>
      </c>
      <c r="F8" s="4" t="s">
        <v>34</v>
      </c>
      <c r="G8" s="2" t="s">
        <v>53</v>
      </c>
      <c r="H8" s="2" t="s">
        <v>54</v>
      </c>
      <c r="I8" s="2" t="s">
        <v>55</v>
      </c>
      <c r="J8" s="2" t="s">
        <v>19</v>
      </c>
    </row>
    <row r="9" customFormat="false" ht="23.85" hidden="false" customHeight="false" outlineLevel="0" collapsed="false">
      <c r="A9" s="2" t="s">
        <v>56</v>
      </c>
      <c r="B9" s="2" t="s">
        <v>51</v>
      </c>
      <c r="C9" s="2" t="s">
        <v>12</v>
      </c>
      <c r="D9" s="2" t="s">
        <v>13</v>
      </c>
      <c r="E9" s="2" t="s">
        <v>57</v>
      </c>
      <c r="F9" s="3" t="s">
        <v>15</v>
      </c>
      <c r="G9" s="2" t="s">
        <v>58</v>
      </c>
      <c r="H9" s="2" t="s">
        <v>59</v>
      </c>
      <c r="I9" s="2" t="s">
        <v>60</v>
      </c>
      <c r="J9" s="2" t="s">
        <v>19</v>
      </c>
    </row>
    <row r="10" customFormat="false" ht="23.85" hidden="false" customHeight="false" outlineLevel="0" collapsed="false">
      <c r="A10" s="2" t="s">
        <v>61</v>
      </c>
      <c r="B10" s="2" t="s">
        <v>62</v>
      </c>
      <c r="C10" s="2" t="s">
        <v>63</v>
      </c>
      <c r="D10" s="2" t="s">
        <v>13</v>
      </c>
      <c r="E10" s="2" t="s">
        <v>28</v>
      </c>
      <c r="F10" s="3" t="s">
        <v>15</v>
      </c>
      <c r="G10" s="2" t="s">
        <v>64</v>
      </c>
      <c r="H10" s="2" t="s">
        <v>65</v>
      </c>
      <c r="I10" s="2" t="s">
        <v>66</v>
      </c>
      <c r="J10" s="2" t="s">
        <v>19</v>
      </c>
    </row>
    <row r="11" customFormat="false" ht="23.85" hidden="false" customHeight="false" outlineLevel="0" collapsed="false">
      <c r="A11" s="2" t="s">
        <v>67</v>
      </c>
      <c r="B11" s="2" t="s">
        <v>62</v>
      </c>
      <c r="C11" s="2" t="s">
        <v>68</v>
      </c>
      <c r="D11" s="2" t="s">
        <v>41</v>
      </c>
      <c r="E11" s="2" t="s">
        <v>42</v>
      </c>
      <c r="F11" s="4" t="s">
        <v>34</v>
      </c>
      <c r="G11" s="2" t="s">
        <v>69</v>
      </c>
      <c r="H11" s="2" t="s">
        <v>70</v>
      </c>
      <c r="I11" s="2" t="s">
        <v>71</v>
      </c>
      <c r="J11" s="2" t="s">
        <v>19</v>
      </c>
    </row>
    <row r="12" customFormat="false" ht="23.85" hidden="false" customHeight="false" outlineLevel="0" collapsed="false">
      <c r="A12" s="2" t="s">
        <v>72</v>
      </c>
      <c r="B12" s="2" t="s">
        <v>73</v>
      </c>
      <c r="C12" s="2" t="s">
        <v>12</v>
      </c>
      <c r="D12" s="2" t="s">
        <v>13</v>
      </c>
      <c r="E12" s="2" t="s">
        <v>14</v>
      </c>
      <c r="F12" s="3" t="s">
        <v>15</v>
      </c>
      <c r="G12" s="2" t="s">
        <v>74</v>
      </c>
      <c r="H12" s="2" t="s">
        <v>75</v>
      </c>
      <c r="I12" s="2" t="s">
        <v>76</v>
      </c>
      <c r="J12" s="2" t="s">
        <v>19</v>
      </c>
    </row>
    <row r="13" customFormat="false" ht="23.85" hidden="false" customHeight="false" outlineLevel="0" collapsed="false">
      <c r="A13" s="2" t="s">
        <v>77</v>
      </c>
      <c r="B13" s="2" t="s">
        <v>73</v>
      </c>
      <c r="C13" s="2" t="s">
        <v>78</v>
      </c>
      <c r="D13" s="2" t="s">
        <v>13</v>
      </c>
      <c r="E13" s="2" t="s">
        <v>28</v>
      </c>
      <c r="F13" s="4" t="s">
        <v>34</v>
      </c>
      <c r="G13" s="2" t="s">
        <v>79</v>
      </c>
      <c r="H13" s="2" t="s">
        <v>36</v>
      </c>
      <c r="I13" s="2" t="s">
        <v>80</v>
      </c>
      <c r="J13" s="2" t="s">
        <v>19</v>
      </c>
    </row>
    <row r="14" customFormat="false" ht="23.85" hidden="false" customHeight="false" outlineLevel="0" collapsed="false">
      <c r="A14" s="2" t="s">
        <v>81</v>
      </c>
      <c r="B14" s="2" t="s">
        <v>82</v>
      </c>
      <c r="C14" s="2" t="s">
        <v>12</v>
      </c>
      <c r="D14" s="2" t="s">
        <v>13</v>
      </c>
      <c r="E14" s="2" t="s">
        <v>33</v>
      </c>
      <c r="F14" s="4" t="s">
        <v>34</v>
      </c>
      <c r="G14" s="2" t="s">
        <v>83</v>
      </c>
      <c r="H14" s="2" t="s">
        <v>84</v>
      </c>
      <c r="I14" s="2" t="s">
        <v>37</v>
      </c>
      <c r="J14" s="2" t="s">
        <v>19</v>
      </c>
    </row>
    <row r="15" customFormat="false" ht="23.85" hidden="false" customHeight="false" outlineLevel="0" collapsed="false">
      <c r="A15" s="2" t="s">
        <v>85</v>
      </c>
      <c r="B15" s="2" t="s">
        <v>82</v>
      </c>
      <c r="C15" s="2" t="s">
        <v>12</v>
      </c>
      <c r="D15" s="2" t="s">
        <v>86</v>
      </c>
      <c r="E15" s="2" t="s">
        <v>87</v>
      </c>
      <c r="F15" s="4" t="s">
        <v>34</v>
      </c>
      <c r="G15" s="2" t="s">
        <v>88</v>
      </c>
      <c r="H15" s="2" t="s">
        <v>89</v>
      </c>
      <c r="I15" s="2" t="s">
        <v>90</v>
      </c>
      <c r="J15" s="2" t="s">
        <v>19</v>
      </c>
    </row>
    <row r="16" customFormat="false" ht="23.85" hidden="false" customHeight="false" outlineLevel="0" collapsed="false">
      <c r="A16" s="2" t="s">
        <v>91</v>
      </c>
      <c r="B16" s="2" t="s">
        <v>92</v>
      </c>
      <c r="C16" s="2" t="s">
        <v>93</v>
      </c>
      <c r="D16" s="2" t="s">
        <v>13</v>
      </c>
      <c r="E16" s="2" t="s">
        <v>22</v>
      </c>
      <c r="F16" s="3" t="s">
        <v>15</v>
      </c>
      <c r="G16" s="2" t="s">
        <v>94</v>
      </c>
      <c r="H16" s="2" t="s">
        <v>95</v>
      </c>
      <c r="I16" s="2" t="s">
        <v>18</v>
      </c>
      <c r="J16" s="2" t="s">
        <v>19</v>
      </c>
    </row>
    <row r="17" customFormat="false" ht="23.85" hidden="false" customHeight="false" outlineLevel="0" collapsed="false">
      <c r="A17" s="2" t="s">
        <v>96</v>
      </c>
      <c r="B17" s="2" t="s">
        <v>92</v>
      </c>
      <c r="C17" s="2" t="s">
        <v>12</v>
      </c>
      <c r="D17" s="2" t="s">
        <v>13</v>
      </c>
      <c r="E17" s="2" t="s">
        <v>57</v>
      </c>
      <c r="F17" s="4" t="s">
        <v>34</v>
      </c>
      <c r="G17" s="2" t="s">
        <v>97</v>
      </c>
      <c r="H17" s="2" t="s">
        <v>98</v>
      </c>
      <c r="I17" s="2" t="s">
        <v>60</v>
      </c>
      <c r="J17" s="2" t="s">
        <v>19</v>
      </c>
    </row>
    <row r="18" customFormat="false" ht="35.05" hidden="false" customHeight="false" outlineLevel="0" collapsed="false">
      <c r="A18" s="2" t="s">
        <v>99</v>
      </c>
      <c r="B18" s="2" t="s">
        <v>100</v>
      </c>
      <c r="C18" s="2" t="s">
        <v>101</v>
      </c>
      <c r="D18" s="2" t="s">
        <v>13</v>
      </c>
      <c r="E18" s="2" t="s">
        <v>28</v>
      </c>
      <c r="F18" s="3" t="s">
        <v>15</v>
      </c>
      <c r="G18" s="2" t="s">
        <v>102</v>
      </c>
      <c r="H18" s="2" t="s">
        <v>103</v>
      </c>
      <c r="I18" s="2" t="s">
        <v>104</v>
      </c>
      <c r="J18" s="2" t="s">
        <v>19</v>
      </c>
    </row>
    <row r="19" customFormat="false" ht="23.85" hidden="false" customHeight="false" outlineLevel="0" collapsed="false">
      <c r="A19" s="2" t="s">
        <v>105</v>
      </c>
      <c r="B19" s="2" t="s">
        <v>100</v>
      </c>
      <c r="C19" s="2" t="s">
        <v>12</v>
      </c>
      <c r="D19" s="2" t="s">
        <v>41</v>
      </c>
      <c r="E19" s="2" t="s">
        <v>42</v>
      </c>
      <c r="F19" s="4" t="s">
        <v>34</v>
      </c>
      <c r="G19" s="2" t="s">
        <v>106</v>
      </c>
      <c r="H19" s="2" t="s">
        <v>107</v>
      </c>
      <c r="I19" s="2" t="s">
        <v>108</v>
      </c>
      <c r="J19" s="2" t="s">
        <v>19</v>
      </c>
    </row>
    <row r="20" customFormat="false" ht="23.85" hidden="false" customHeight="false" outlineLevel="0" collapsed="false">
      <c r="A20" s="2" t="s">
        <v>109</v>
      </c>
      <c r="B20" s="2" t="s">
        <v>110</v>
      </c>
      <c r="C20" s="2" t="s">
        <v>12</v>
      </c>
      <c r="D20" s="2" t="s">
        <v>13</v>
      </c>
      <c r="E20" s="2" t="s">
        <v>14</v>
      </c>
      <c r="F20" s="4" t="s">
        <v>34</v>
      </c>
      <c r="G20" s="2" t="s">
        <v>111</v>
      </c>
      <c r="H20" s="2" t="s">
        <v>112</v>
      </c>
      <c r="I20" s="2" t="s">
        <v>113</v>
      </c>
      <c r="J20" s="2" t="s">
        <v>19</v>
      </c>
    </row>
    <row r="21" customFormat="false" ht="23.85" hidden="false" customHeight="false" outlineLevel="0" collapsed="false">
      <c r="A21" s="2" t="s">
        <v>114</v>
      </c>
      <c r="B21" s="2" t="s">
        <v>110</v>
      </c>
      <c r="C21" s="2" t="s">
        <v>12</v>
      </c>
      <c r="D21" s="2" t="s">
        <v>13</v>
      </c>
      <c r="E21" s="2" t="s">
        <v>33</v>
      </c>
      <c r="F21" s="3" t="s">
        <v>15</v>
      </c>
      <c r="G21" s="2" t="s">
        <v>115</v>
      </c>
      <c r="H21" s="2" t="s">
        <v>116</v>
      </c>
      <c r="I21" s="2" t="s">
        <v>37</v>
      </c>
      <c r="J21" s="2" t="s">
        <v>19</v>
      </c>
    </row>
    <row r="22" customFormat="false" ht="23.85" hidden="false" customHeight="false" outlineLevel="0" collapsed="false">
      <c r="A22" s="2" t="s">
        <v>117</v>
      </c>
      <c r="B22" s="2" t="s">
        <v>118</v>
      </c>
      <c r="C22" s="2" t="s">
        <v>12</v>
      </c>
      <c r="D22" s="2" t="s">
        <v>41</v>
      </c>
      <c r="E22" s="2" t="s">
        <v>52</v>
      </c>
      <c r="F22" s="4" t="s">
        <v>34</v>
      </c>
      <c r="G22" s="2" t="s">
        <v>119</v>
      </c>
      <c r="H22" s="2" t="s">
        <v>44</v>
      </c>
      <c r="I22" s="2" t="s">
        <v>120</v>
      </c>
      <c r="J22" s="2" t="s">
        <v>19</v>
      </c>
    </row>
    <row r="23" customFormat="false" ht="23.85" hidden="false" customHeight="false" outlineLevel="0" collapsed="false">
      <c r="A23" s="2" t="s">
        <v>121</v>
      </c>
      <c r="B23" s="2" t="s">
        <v>118</v>
      </c>
      <c r="C23" s="2" t="s">
        <v>12</v>
      </c>
      <c r="D23" s="2" t="s">
        <v>13</v>
      </c>
      <c r="E23" s="2" t="s">
        <v>57</v>
      </c>
      <c r="F23" s="3" t="s">
        <v>15</v>
      </c>
      <c r="G23" s="2" t="s">
        <v>122</v>
      </c>
      <c r="H23" s="2" t="s">
        <v>123</v>
      </c>
      <c r="I23" s="2" t="s">
        <v>60</v>
      </c>
      <c r="J23" s="2" t="s">
        <v>19</v>
      </c>
    </row>
    <row r="24" customFormat="false" ht="23.85" hidden="false" customHeight="false" outlineLevel="0" collapsed="false">
      <c r="A24" s="2" t="s">
        <v>124</v>
      </c>
      <c r="B24" s="2" t="s">
        <v>125</v>
      </c>
      <c r="C24" s="2" t="s">
        <v>27</v>
      </c>
      <c r="D24" s="2" t="s">
        <v>13</v>
      </c>
      <c r="E24" s="2" t="s">
        <v>28</v>
      </c>
      <c r="F24" s="3" t="s">
        <v>15</v>
      </c>
      <c r="G24" s="2" t="s">
        <v>126</v>
      </c>
      <c r="H24" s="2" t="s">
        <v>127</v>
      </c>
      <c r="I24" s="2" t="s">
        <v>18</v>
      </c>
      <c r="J24" s="2" t="s">
        <v>19</v>
      </c>
    </row>
    <row r="25" customFormat="false" ht="23.85" hidden="false" customHeight="false" outlineLevel="0" collapsed="false">
      <c r="A25" s="2" t="s">
        <v>128</v>
      </c>
      <c r="B25" s="2" t="s">
        <v>125</v>
      </c>
      <c r="C25" s="2" t="s">
        <v>12</v>
      </c>
      <c r="D25" s="2" t="s">
        <v>41</v>
      </c>
      <c r="E25" s="2" t="s">
        <v>42</v>
      </c>
      <c r="F25" s="4" t="s">
        <v>34</v>
      </c>
      <c r="G25" s="2" t="s">
        <v>129</v>
      </c>
      <c r="H25" s="2" t="s">
        <v>130</v>
      </c>
      <c r="I25" s="2" t="s">
        <v>45</v>
      </c>
      <c r="J25" s="2" t="s">
        <v>19</v>
      </c>
    </row>
    <row r="26" customFormat="false" ht="15" hidden="false" customHeight="false" outlineLevel="0" collapsed="false">
      <c r="A26" s="2" t="s">
        <v>131</v>
      </c>
      <c r="B26" s="2" t="s">
        <v>132</v>
      </c>
      <c r="C26" s="2" t="s">
        <v>12</v>
      </c>
      <c r="D26" s="2" t="s">
        <v>133</v>
      </c>
      <c r="E26" s="2" t="s">
        <v>133</v>
      </c>
      <c r="F26" s="5" t="s">
        <v>133</v>
      </c>
      <c r="G26" s="2" t="s">
        <v>134</v>
      </c>
      <c r="H26" s="2" t="s">
        <v>133</v>
      </c>
      <c r="I26" s="2" t="s">
        <v>135</v>
      </c>
      <c r="J26" s="2" t="s">
        <v>19</v>
      </c>
    </row>
    <row r="27" customFormat="false" ht="15" hidden="false" customHeight="false" outlineLevel="0" collapsed="false">
      <c r="A27" s="2" t="s">
        <v>136</v>
      </c>
      <c r="B27" s="2" t="s">
        <v>132</v>
      </c>
      <c r="C27" s="2" t="s">
        <v>12</v>
      </c>
      <c r="D27" s="2" t="s">
        <v>133</v>
      </c>
      <c r="E27" s="2" t="s">
        <v>133</v>
      </c>
      <c r="F27" s="5" t="s">
        <v>133</v>
      </c>
      <c r="G27" s="2" t="s">
        <v>134</v>
      </c>
      <c r="H27" s="2" t="s">
        <v>133</v>
      </c>
      <c r="I27" s="2" t="s">
        <v>135</v>
      </c>
      <c r="J27" s="2" t="s">
        <v>19</v>
      </c>
    </row>
    <row r="28" customFormat="false" ht="15" hidden="false" customHeight="false" outlineLevel="0" collapsed="false">
      <c r="A28" s="2" t="s">
        <v>137</v>
      </c>
      <c r="B28" s="2" t="s">
        <v>138</v>
      </c>
      <c r="C28" s="2" t="s">
        <v>63</v>
      </c>
      <c r="D28" s="2" t="s">
        <v>133</v>
      </c>
      <c r="E28" s="2" t="s">
        <v>133</v>
      </c>
      <c r="F28" s="5" t="s">
        <v>133</v>
      </c>
      <c r="G28" s="2" t="s">
        <v>134</v>
      </c>
      <c r="H28" s="2" t="s">
        <v>133</v>
      </c>
      <c r="I28" s="2" t="s">
        <v>135</v>
      </c>
      <c r="J28" s="2" t="s">
        <v>19</v>
      </c>
    </row>
    <row r="29" customFormat="false" ht="15" hidden="false" customHeight="false" outlineLevel="0" collapsed="false">
      <c r="A29" s="2" t="s">
        <v>139</v>
      </c>
      <c r="B29" s="2" t="s">
        <v>138</v>
      </c>
      <c r="C29" s="2" t="s">
        <v>12</v>
      </c>
      <c r="D29" s="2" t="s">
        <v>133</v>
      </c>
      <c r="E29" s="2" t="s">
        <v>133</v>
      </c>
      <c r="F29" s="5" t="s">
        <v>133</v>
      </c>
      <c r="G29" s="2" t="s">
        <v>134</v>
      </c>
      <c r="H29" s="2" t="s">
        <v>133</v>
      </c>
      <c r="I29" s="2" t="s">
        <v>135</v>
      </c>
      <c r="J29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6" t="s">
        <v>140</v>
      </c>
      <c r="B1" s="6"/>
      <c r="C1" s="6"/>
    </row>
    <row r="2" customFormat="false" ht="30" hidden="false" customHeight="true" outlineLevel="0" collapsed="false">
      <c r="A2" s="7" t="s">
        <v>141</v>
      </c>
      <c r="B2" s="7"/>
      <c r="C2" s="7"/>
    </row>
    <row r="4" customFormat="false" ht="15" hidden="false" customHeight="false" outlineLevel="0" collapsed="false">
      <c r="A4" s="8" t="s">
        <v>142</v>
      </c>
    </row>
    <row r="5" customFormat="false" ht="15" hidden="false" customHeight="false" outlineLevel="0" collapsed="false">
      <c r="A5" s="9" t="s">
        <v>143</v>
      </c>
      <c r="B5" s="9" t="n">
        <f aca="false">COUNTA('DRP Log'!A2:A29)</f>
        <v>28</v>
      </c>
    </row>
    <row r="6" customFormat="false" ht="15" hidden="false" customHeight="false" outlineLevel="0" collapsed="false">
      <c r="A6" s="9" t="s">
        <v>144</v>
      </c>
      <c r="B6" s="9" t="n">
        <f aca="false">COUNTIF('DRP Log'!F2:F29,"Critical")+COUNTIF('DRP Log'!F2:F29,"Moderate")</f>
        <v>24</v>
      </c>
    </row>
    <row r="7" customFormat="false" ht="15" hidden="false" customHeight="false" outlineLevel="0" collapsed="false">
      <c r="A7" s="9" t="s">
        <v>145</v>
      </c>
      <c r="B7" s="9" t="n">
        <f aca="false">COUNTIF('DRP Log'!F2:F29,"—")</f>
        <v>4</v>
      </c>
    </row>
    <row r="8" customFormat="false" ht="15" hidden="false" customHeight="false" outlineLevel="0" collapsed="false">
      <c r="A8" s="9" t="s">
        <v>146</v>
      </c>
      <c r="B8" s="10" t="n">
        <f aca="false">B6/B5</f>
        <v>0.857142857142857</v>
      </c>
    </row>
    <row r="10" customFormat="false" ht="15" hidden="false" customHeight="false" outlineLevel="0" collapsed="false">
      <c r="A10" s="8" t="s">
        <v>147</v>
      </c>
    </row>
    <row r="11" customFormat="false" ht="15" hidden="false" customHeight="false" outlineLevel="0" collapsed="false">
      <c r="A11" s="1" t="s">
        <v>5</v>
      </c>
      <c r="B11" s="1" t="s">
        <v>148</v>
      </c>
      <c r="C11" s="1" t="s">
        <v>149</v>
      </c>
    </row>
    <row r="12" customFormat="false" ht="15" hidden="false" customHeight="false" outlineLevel="0" collapsed="false">
      <c r="A12" s="11" t="s">
        <v>15</v>
      </c>
      <c r="B12" s="11" t="n">
        <f aca="false">COUNTIF('DRP Log'!F2:F29,"Critical")</f>
        <v>12</v>
      </c>
      <c r="C12" s="12" t="n">
        <f aca="false">B12/$B$6</f>
        <v>0.5</v>
      </c>
    </row>
    <row r="13" customFormat="false" ht="15" hidden="false" customHeight="false" outlineLevel="0" collapsed="false">
      <c r="A13" s="11" t="s">
        <v>34</v>
      </c>
      <c r="B13" s="11" t="n">
        <f aca="false">COUNTIF('DRP Log'!F2:F29,"Moderate")</f>
        <v>12</v>
      </c>
      <c r="C13" s="12" t="n">
        <f aca="false">B13/$B$6</f>
        <v>0.5</v>
      </c>
    </row>
    <row r="15" customFormat="false" ht="15" hidden="false" customHeight="false" outlineLevel="0" collapsed="false">
      <c r="A15" s="8" t="s">
        <v>150</v>
      </c>
    </row>
    <row r="16" customFormat="false" ht="15" hidden="false" customHeight="false" outlineLevel="0" collapsed="false">
      <c r="A16" s="1" t="s">
        <v>151</v>
      </c>
      <c r="B16" s="1" t="s">
        <v>148</v>
      </c>
      <c r="C16" s="1" t="s">
        <v>149</v>
      </c>
    </row>
    <row r="17" customFormat="false" ht="15" hidden="false" customHeight="false" outlineLevel="0" collapsed="false">
      <c r="A17" s="11" t="s">
        <v>13</v>
      </c>
      <c r="B17" s="11" t="n">
        <f aca="false">COUNTIF('DRP Log'!D2:D29,A17)</f>
        <v>17</v>
      </c>
      <c r="C17" s="12" t="n">
        <f aca="false">B17/$B$6</f>
        <v>0.708333333333333</v>
      </c>
    </row>
    <row r="18" customFormat="false" ht="15" hidden="false" customHeight="false" outlineLevel="0" collapsed="false">
      <c r="A18" s="11" t="s">
        <v>41</v>
      </c>
      <c r="B18" s="11" t="n">
        <f aca="false">COUNTIF('DRP Log'!D2:D29,A18)</f>
        <v>6</v>
      </c>
      <c r="C18" s="12" t="n">
        <f aca="false">B18/$B$6</f>
        <v>0.25</v>
      </c>
    </row>
    <row r="19" customFormat="false" ht="15" hidden="false" customHeight="false" outlineLevel="0" collapsed="false">
      <c r="A19" s="11" t="s">
        <v>86</v>
      </c>
      <c r="B19" s="11" t="n">
        <f aca="false">COUNTIF('DRP Log'!D2:D29,A19)</f>
        <v>1</v>
      </c>
      <c r="C19" s="12" t="n">
        <f aca="false">B19/$B$6</f>
        <v>0.0416666666666667</v>
      </c>
    </row>
    <row r="21" customFormat="false" ht="15" hidden="false" customHeight="false" outlineLevel="0" collapsed="false">
      <c r="A21" s="8" t="s">
        <v>152</v>
      </c>
    </row>
    <row r="22" customFormat="false" ht="15" hidden="false" customHeight="false" outlineLevel="0" collapsed="false">
      <c r="A22" s="1" t="s">
        <v>4</v>
      </c>
      <c r="B22" s="1" t="s">
        <v>148</v>
      </c>
      <c r="C22" s="1" t="s">
        <v>149</v>
      </c>
    </row>
    <row r="23" customFormat="false" ht="15" hidden="false" customHeight="false" outlineLevel="0" collapsed="false">
      <c r="A23" s="11" t="s">
        <v>14</v>
      </c>
      <c r="B23" s="11" t="n">
        <f aca="false">COUNTIF('DRP Log'!E2:E29,A23)</f>
        <v>4</v>
      </c>
      <c r="C23" s="12" t="n">
        <f aca="false">B23/$B$6</f>
        <v>0.166666666666667</v>
      </c>
    </row>
    <row r="24" customFormat="false" ht="15" hidden="false" customHeight="false" outlineLevel="0" collapsed="false">
      <c r="A24" s="11" t="s">
        <v>22</v>
      </c>
      <c r="B24" s="11" t="n">
        <f aca="false">COUNTIF('DRP Log'!E2:E29,A24)</f>
        <v>2</v>
      </c>
      <c r="C24" s="12" t="n">
        <f aca="false">B24/$B$6</f>
        <v>0.0833333333333333</v>
      </c>
    </row>
    <row r="25" customFormat="false" ht="15" hidden="false" customHeight="false" outlineLevel="0" collapsed="false">
      <c r="A25" s="11" t="s">
        <v>28</v>
      </c>
      <c r="B25" s="11" t="n">
        <f aca="false">COUNTIF('DRP Log'!E2:E29,A25)</f>
        <v>5</v>
      </c>
      <c r="C25" s="12" t="n">
        <f aca="false">B25/$B$6</f>
        <v>0.208333333333333</v>
      </c>
    </row>
    <row r="26" customFormat="false" ht="15" hidden="false" customHeight="false" outlineLevel="0" collapsed="false">
      <c r="A26" s="11" t="s">
        <v>33</v>
      </c>
      <c r="B26" s="11" t="n">
        <f aca="false">COUNTIF('DRP Log'!E2:E29,A26)</f>
        <v>3</v>
      </c>
      <c r="C26" s="12" t="n">
        <f aca="false">B26/$B$6</f>
        <v>0.125</v>
      </c>
    </row>
    <row r="27" customFormat="false" ht="15" hidden="false" customHeight="false" outlineLevel="0" collapsed="false">
      <c r="A27" s="11" t="s">
        <v>42</v>
      </c>
      <c r="B27" s="11" t="n">
        <f aca="false">COUNTIF('DRP Log'!E2:E29,A27)</f>
        <v>4</v>
      </c>
      <c r="C27" s="12" t="n">
        <f aca="false">B27/$B$6</f>
        <v>0.166666666666667</v>
      </c>
    </row>
    <row r="28" customFormat="false" ht="15" hidden="false" customHeight="false" outlineLevel="0" collapsed="false">
      <c r="A28" s="11" t="s">
        <v>52</v>
      </c>
      <c r="B28" s="11" t="n">
        <f aca="false">COUNTIF('DRP Log'!E2:E29,A28)</f>
        <v>2</v>
      </c>
      <c r="C28" s="12" t="n">
        <f aca="false">B28/$B$6</f>
        <v>0.0833333333333333</v>
      </c>
    </row>
    <row r="29" customFormat="false" ht="15" hidden="false" customHeight="false" outlineLevel="0" collapsed="false">
      <c r="A29" s="11" t="s">
        <v>57</v>
      </c>
      <c r="B29" s="11" t="n">
        <f aca="false">COUNTIF('DRP Log'!E2:E29,A29)</f>
        <v>3</v>
      </c>
      <c r="C29" s="12" t="n">
        <f aca="false">B29/$B$6</f>
        <v>0.125</v>
      </c>
    </row>
    <row r="30" customFormat="false" ht="15" hidden="false" customHeight="false" outlineLevel="0" collapsed="false">
      <c r="A30" s="11" t="s">
        <v>87</v>
      </c>
      <c r="B30" s="11" t="n">
        <f aca="false">COUNTIF('DRP Log'!E2:E29,A30)</f>
        <v>1</v>
      </c>
      <c r="C30" s="12" t="n">
        <f aca="false">B30/$B$6</f>
        <v>0.0416666666666667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6" t="s">
        <v>153</v>
      </c>
      <c r="B1" s="6"/>
      <c r="C1" s="6"/>
      <c r="D1" s="6"/>
      <c r="E1" s="6"/>
      <c r="F1" s="6"/>
      <c r="G1" s="6"/>
      <c r="H1" s="6"/>
      <c r="I1" s="6"/>
    </row>
    <row r="2" customFormat="false" ht="25.5" hidden="false" customHeight="true" outlineLevel="0" collapsed="false">
      <c r="A2" s="7" t="s">
        <v>154</v>
      </c>
      <c r="B2" s="7"/>
      <c r="C2" s="7"/>
      <c r="D2" s="7"/>
      <c r="E2" s="7"/>
      <c r="F2" s="7"/>
      <c r="G2" s="7"/>
      <c r="H2" s="7"/>
      <c r="I2" s="7"/>
    </row>
    <row r="3" customFormat="false" ht="35.05" hidden="false" customHeight="false" outlineLevel="0" collapsed="false">
      <c r="A3" s="1" t="s">
        <v>2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161</v>
      </c>
      <c r="I3" s="1" t="s">
        <v>162</v>
      </c>
    </row>
    <row r="4" customFormat="false" ht="23.85" hidden="false" customHeight="false" outlineLevel="0" collapsed="false">
      <c r="A4" s="13" t="s">
        <v>12</v>
      </c>
      <c r="B4" s="13" t="s">
        <v>163</v>
      </c>
      <c r="C4" s="13" t="s">
        <v>163</v>
      </c>
      <c r="D4" s="13" t="s">
        <v>163</v>
      </c>
      <c r="E4" s="13" t="s">
        <v>163</v>
      </c>
      <c r="F4" s="13" t="s">
        <v>163</v>
      </c>
      <c r="G4" s="13" t="s">
        <v>163</v>
      </c>
      <c r="H4" s="13" t="s">
        <v>164</v>
      </c>
      <c r="I4" s="13" t="s">
        <v>165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2026-07-26T11:12:38Z</dcterms:created>
  <dc:creator>openpyxl</dc:creator>
  <dc:description/>
  <dc:language>en-US</dc:language>
  <cp:lastModifiedBy/>
  <dcterms:modified xsi:type="dcterms:W3CDTF">2026-07-26T11:12:44Z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